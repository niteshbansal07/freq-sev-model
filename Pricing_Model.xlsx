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Outpu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0" borderId="0" pivotButton="0" quotePrefix="0" xfId="0"/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</cols>
  <sheetData>
    <row r="1">
      <c r="A1" s="1" t="inlineStr">
        <is>
          <t>Excel Insurance Pricing Model (End-to-End)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Policy Count (Exposure Units)</t>
        </is>
      </c>
      <c r="B4" s="4" t="n">
        <v>10000</v>
      </c>
      <c r="C4" s="5" t="inlineStr">
        <is>
          <t>Number of policies / exposure units</t>
        </is>
      </c>
    </row>
    <row r="5">
      <c r="A5" s="3" t="inlineStr">
        <is>
          <t>Expected Claim Frequency (per exposure)</t>
        </is>
      </c>
      <c r="B5" s="6" t="n">
        <v>0.08</v>
      </c>
      <c r="C5" s="5" t="inlineStr">
        <is>
          <t>Claims per policy</t>
        </is>
      </c>
    </row>
    <row r="6">
      <c r="A6" s="3" t="inlineStr">
        <is>
          <t>Expected Claim Severity ($)</t>
        </is>
      </c>
      <c r="B6" s="7" t="n">
        <v>2500</v>
      </c>
      <c r="C6" s="5" t="inlineStr">
        <is>
          <t>Average cost per claim</t>
        </is>
      </c>
    </row>
    <row r="7">
      <c r="A7" s="3" t="inlineStr">
        <is>
          <t>Loss Trend (annual)</t>
        </is>
      </c>
      <c r="B7" s="6" t="n">
        <v>0.04</v>
      </c>
      <c r="C7" s="5" t="inlineStr">
        <is>
          <t>Inflation/trend applied to losses</t>
        </is>
      </c>
    </row>
    <row r="8">
      <c r="A8" s="3" t="inlineStr">
        <is>
          <t>Expenses as % of Premium</t>
        </is>
      </c>
      <c r="B8" s="6" t="n">
        <v>0.28</v>
      </c>
      <c r="C8" s="5" t="inlineStr">
        <is>
          <t>Underwriting + admin expenses</t>
        </is>
      </c>
    </row>
    <row r="9">
      <c r="A9" s="3" t="inlineStr">
        <is>
          <t>Target Profit Margin</t>
        </is>
      </c>
      <c r="B9" s="6" t="n">
        <v>0.06</v>
      </c>
      <c r="C9" s="5" t="inlineStr">
        <is>
          <t>Profit / risk load</t>
        </is>
      </c>
    </row>
    <row r="10">
      <c r="A10" s="3" t="inlineStr">
        <is>
          <t>Contingency Margin</t>
        </is>
      </c>
      <c r="B10" s="6" t="n">
        <v>0.02</v>
      </c>
      <c r="C10" s="5" t="inlineStr">
        <is>
          <t>Buffer for uncertainty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</cols>
  <sheetData>
    <row r="1">
      <c r="A1" s="8" t="inlineStr">
        <is>
          <t>Assumptions / Simple Rating Factors (optional)</t>
        </is>
      </c>
    </row>
    <row r="3">
      <c r="A3" s="2" t="inlineStr">
        <is>
          <t>Factor</t>
        </is>
      </c>
      <c r="B3" s="2" t="inlineStr">
        <is>
          <t>Level</t>
        </is>
      </c>
      <c r="C3" s="2" t="inlineStr">
        <is>
          <t>Relativity</t>
        </is>
      </c>
    </row>
    <row r="4">
      <c r="A4" s="5" t="inlineStr">
        <is>
          <t>Territory</t>
        </is>
      </c>
      <c r="B4" s="5" t="inlineStr">
        <is>
          <t>Urban</t>
        </is>
      </c>
      <c r="C4" s="9" t="n">
        <v>1.1</v>
      </c>
    </row>
    <row r="5">
      <c r="A5" s="5" t="inlineStr">
        <is>
          <t>Territory</t>
        </is>
      </c>
      <c r="B5" s="5" t="inlineStr">
        <is>
          <t>Suburban</t>
        </is>
      </c>
      <c r="C5" s="9" t="n">
        <v>1</v>
      </c>
    </row>
    <row r="6">
      <c r="A6" s="5" t="inlineStr">
        <is>
          <t>Territory</t>
        </is>
      </c>
      <c r="B6" s="5" t="inlineStr">
        <is>
          <t>Rural</t>
        </is>
      </c>
      <c r="C6" s="9" t="n">
        <v>0.9</v>
      </c>
    </row>
    <row r="7">
      <c r="A7" s="5" t="inlineStr">
        <is>
          <t>Vehicle Age</t>
        </is>
      </c>
      <c r="B7" s="5" t="inlineStr">
        <is>
          <t>0-3 years</t>
        </is>
      </c>
      <c r="C7" s="9" t="n">
        <v>1.05</v>
      </c>
    </row>
    <row r="8">
      <c r="A8" s="5" t="inlineStr">
        <is>
          <t>Vehicle Age</t>
        </is>
      </c>
      <c r="B8" s="5" t="inlineStr">
        <is>
          <t>4-8 years</t>
        </is>
      </c>
      <c r="C8" s="9" t="n">
        <v>1</v>
      </c>
    </row>
    <row r="9">
      <c r="A9" s="5" t="inlineStr">
        <is>
          <t>Vehicle Age</t>
        </is>
      </c>
      <c r="B9" s="5" t="inlineStr">
        <is>
          <t>9+ years</t>
        </is>
      </c>
      <c r="C9" s="9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6" customWidth="1" min="3" max="3"/>
  </cols>
  <sheetData>
    <row r="1">
      <c r="A1" s="8" t="inlineStr">
        <is>
          <t>Calculations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How it's computed</t>
        </is>
      </c>
    </row>
    <row r="4">
      <c r="A4" s="3" t="inlineStr">
        <is>
          <t>Expected Claims</t>
        </is>
      </c>
      <c r="B4" s="4">
        <f>Inputs!B4*Inputs!B5</f>
        <v/>
      </c>
      <c r="C4" s="5" t="inlineStr">
        <is>
          <t>Exposure * Frequency</t>
        </is>
      </c>
    </row>
    <row r="5">
      <c r="A5" s="3" t="inlineStr">
        <is>
          <t>Expected Loss (Untrended)</t>
        </is>
      </c>
      <c r="B5" s="7">
        <f>B3*Inputs!B6</f>
        <v/>
      </c>
      <c r="C5" s="5" t="inlineStr">
        <is>
          <t>Expected Claims * Severity</t>
        </is>
      </c>
    </row>
    <row r="6">
      <c r="A6" s="3" t="inlineStr">
        <is>
          <t>Trended Expected Loss</t>
        </is>
      </c>
      <c r="B6" s="7">
        <f>B4*(1+Inputs!B7)</f>
        <v/>
      </c>
      <c r="C6" s="5" t="inlineStr">
        <is>
          <t>Apply loss trend</t>
        </is>
      </c>
    </row>
    <row r="7">
      <c r="A7" s="3" t="inlineStr">
        <is>
          <t>Pure Premium (per exposure)</t>
        </is>
      </c>
      <c r="B7" s="7">
        <f>B5/Inputs!B4</f>
        <v/>
      </c>
      <c r="C7" s="5" t="inlineStr">
        <is>
          <t>Trended Loss / Exposure</t>
        </is>
      </c>
    </row>
    <row r="8">
      <c r="A8" s="3" t="inlineStr">
        <is>
          <t>Indicated Premium (per exposure)</t>
        </is>
      </c>
      <c r="B8" s="7">
        <f>B6/(1-Inputs!B8-Inputs!B9-Inputs!B10)</f>
        <v/>
      </c>
      <c r="C8" s="5" t="inlineStr">
        <is>
          <t>Add expenses + profit + contingency</t>
        </is>
      </c>
    </row>
    <row r="9">
      <c r="A9" s="3" t="inlineStr">
        <is>
          <t>Indicated Total Premium</t>
        </is>
      </c>
      <c r="B9" s="7">
        <f>B7*Inputs!B4</f>
        <v/>
      </c>
      <c r="C9" s="5" t="inlineStr">
        <is>
          <t>Per exposure *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8" t="inlineStr">
        <is>
          <t>Output Summary (for discussion)</t>
        </is>
      </c>
    </row>
    <row r="3">
      <c r="A3" s="2" t="inlineStr">
        <is>
          <t>Key Result</t>
        </is>
      </c>
      <c r="B3" s="2" t="inlineStr">
        <is>
          <t>Value</t>
        </is>
      </c>
    </row>
    <row r="4">
      <c r="A4" s="3" t="inlineStr">
        <is>
          <t>Pure Premium (per exposure)</t>
        </is>
      </c>
      <c r="B4" s="7">
        <f>Calculations!B6</f>
        <v/>
      </c>
    </row>
    <row r="5">
      <c r="A5" s="3" t="inlineStr">
        <is>
          <t>Indicated Premium (per exposure)</t>
        </is>
      </c>
      <c r="B5" s="7">
        <f>Calculations!B7</f>
        <v/>
      </c>
    </row>
    <row r="6">
      <c r="A6" s="3" t="inlineStr">
        <is>
          <t>Indicated Total Premium</t>
        </is>
      </c>
      <c r="B6" s="7">
        <f>Calculations!B8</f>
        <v/>
      </c>
    </row>
    <row r="7">
      <c r="A7" s="3" t="inlineStr">
        <is>
          <t>Expense Ratio</t>
        </is>
      </c>
      <c r="B7" s="6">
        <f>Inputs!B8</f>
        <v/>
      </c>
    </row>
    <row r="8">
      <c r="A8" s="3" t="inlineStr">
        <is>
          <t>Target Profit</t>
        </is>
      </c>
      <c r="B8" s="6">
        <f>Inputs!B9</f>
        <v/>
      </c>
    </row>
    <row r="9">
      <c r="A9" s="3" t="inlineStr">
        <is>
          <t>Contingency Margin</t>
        </is>
      </c>
      <c r="B9" s="6">
        <f>Inputs!B10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2026-01-16T07:44:23Z</dcterms:created>
  <dcterms:modified xmlns:dcterms="http://purl.org/dc/terms/" xmlns:xsi="http://www.w3.org/2001/XMLSchema-instance" xsi:type="dcterms:W3CDTF">2026-01-16T07:44:23Z</dcterms:modified>
</cp:coreProperties>
</file>